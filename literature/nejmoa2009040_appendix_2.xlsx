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ndes\Rebuttal_2\"/>
    </mc:Choice>
  </mc:AlternateContent>
  <bookViews>
    <workbookView xWindow="0" yWindow="0" windowWidth="9495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1" l="1"/>
</calcChain>
</file>

<file path=xl/sharedStrings.xml><?xml version="1.0" encoding="utf-8"?>
<sst xmlns="http://schemas.openxmlformats.org/spreadsheetml/2006/main" count="582" uniqueCount="345">
  <si>
    <t>NR</t>
  </si>
  <si>
    <t>xx</t>
  </si>
  <si>
    <t>Oxygen delivery</t>
  </si>
  <si>
    <t>2</t>
  </si>
  <si>
    <t>Mild</t>
  </si>
  <si>
    <t>Survived</t>
  </si>
  <si>
    <t>xxx</t>
  </si>
  <si>
    <t>HS/MV</t>
  </si>
  <si>
    <t>4</t>
  </si>
  <si>
    <t>Severe</t>
  </si>
  <si>
    <t>x</t>
  </si>
  <si>
    <t>3</t>
  </si>
  <si>
    <t>NA</t>
  </si>
  <si>
    <t>NN</t>
  </si>
  <si>
    <t>1</t>
  </si>
  <si>
    <t>Pos (1.94; &lt;0 d)</t>
  </si>
  <si>
    <t>Pos (1; 6 d)</t>
  </si>
  <si>
    <t>Ribavirin</t>
  </si>
  <si>
    <t>PatientID</t>
  </si>
  <si>
    <t>Viral load (copies/ml)</t>
  </si>
  <si>
    <t>Hospital admission dpso#</t>
  </si>
  <si>
    <t>ICU admission dpso#</t>
  </si>
  <si>
    <t>Treatment received</t>
  </si>
  <si>
    <t>Severity grade</t>
  </si>
  <si>
    <t>Case severity</t>
  </si>
  <si>
    <t>Outcome (dpso#)</t>
  </si>
  <si>
    <t>Hematology</t>
  </si>
  <si>
    <t>Virology</t>
  </si>
  <si>
    <t>Hospitalization</t>
  </si>
  <si>
    <t>Leukocytosis (μl)</t>
  </si>
  <si>
    <t>Neutrophilia (μl)</t>
  </si>
  <si>
    <t>Lymphopenia (μl)</t>
  </si>
  <si>
    <t>Platelet count/μl (dpso#)</t>
  </si>
  <si>
    <t>LDH (U/l) (dpso#)</t>
  </si>
  <si>
    <t>AST (U/l) (dpso#)</t>
  </si>
  <si>
    <t>ALT (U/l) (dpso#)</t>
  </si>
  <si>
    <t>Urea (g/l) (dpso#)</t>
  </si>
  <si>
    <t>Creatine (mg/dl) (dpso#)</t>
  </si>
  <si>
    <t>PT (s)/Prothrombin (%)/aPTT (s) (dpso#)</t>
  </si>
  <si>
    <t>1st clinical eval. dpso#</t>
  </si>
  <si>
    <t>ICU (d)</t>
  </si>
  <si>
    <r>
      <t>IgM (OD</t>
    </r>
    <r>
      <rPr>
        <vertAlign val="subscript"/>
        <sz val="8"/>
        <color theme="1"/>
        <rFont val="Times New Roman"/>
        <family val="1"/>
      </rPr>
      <t>450 nm</t>
    </r>
    <r>
      <rPr>
        <sz val="8"/>
        <color theme="1"/>
        <rFont val="Times New Roman"/>
        <family val="1"/>
      </rPr>
      <t>; dpso#)</t>
    </r>
  </si>
  <si>
    <r>
      <t>IgG (OD</t>
    </r>
    <r>
      <rPr>
        <vertAlign val="subscript"/>
        <sz val="8"/>
        <color theme="1"/>
        <rFont val="Times New Roman"/>
        <family val="1"/>
      </rPr>
      <t>450 nm</t>
    </r>
    <r>
      <rPr>
        <sz val="8"/>
        <color theme="1"/>
        <rFont val="Times New Roman"/>
        <family val="1"/>
      </rPr>
      <t>; dpso#)</t>
    </r>
  </si>
  <si>
    <t>Pos (0.74; 1 d)</t>
  </si>
  <si>
    <t>1.7 (1 d)</t>
  </si>
  <si>
    <t>Pos (0.65; 1 d)</t>
  </si>
  <si>
    <t>0.7 (1 d)</t>
  </si>
  <si>
    <t>0.66 (1 d</t>
  </si>
  <si>
    <t>Pos (0.57; 1 d)</t>
  </si>
  <si>
    <t>x (11 d)</t>
  </si>
  <si>
    <t>1,243 (11 d)</t>
  </si>
  <si>
    <t>132 (11 d)</t>
  </si>
  <si>
    <t>148 (11 d)</t>
  </si>
  <si>
    <t>0.3 (1 d)</t>
  </si>
  <si>
    <t>0.73 (1 d)</t>
  </si>
  <si>
    <t>Pos (0.9; 1 d)</t>
  </si>
  <si>
    <t>Pos (1.1; ≤1 d)</t>
  </si>
  <si>
    <t>Pos (0.49; 1 d)</t>
  </si>
  <si>
    <t>Pos (0.64; 1 d)</t>
  </si>
  <si>
    <t>2.06 (11 d)</t>
  </si>
  <si>
    <t>Pos (3.34; &lt;2 d)</t>
  </si>
  <si>
    <t>Pos (3.17; &lt;2 d)</t>
  </si>
  <si>
    <t>Pos (1.43;&lt;2 d)</t>
  </si>
  <si>
    <t>Pos (1.02; 2 d)</t>
  </si>
  <si>
    <t>Pos (0.42; &lt;2 d)</t>
  </si>
  <si>
    <t>72,000 (2 d)</t>
  </si>
  <si>
    <t>206,000 (2 d)</t>
  </si>
  <si>
    <t>54 (2 d</t>
  </si>
  <si>
    <t>64 (2 d)</t>
  </si>
  <si>
    <t>0.18 (2 d)</t>
  </si>
  <si>
    <t>Pos (0.6; 2 d)</t>
  </si>
  <si>
    <t>Pos (0.55; 2 d)</t>
  </si>
  <si>
    <t>72 (2 d)</t>
  </si>
  <si>
    <t>54 (2 d)</t>
  </si>
  <si>
    <t>Pos (2.42; &lt;2 d)</t>
  </si>
  <si>
    <t>Pos (3.12; &lt;2 d)</t>
  </si>
  <si>
    <t>Pos (1.59; &lt;2 d)</t>
  </si>
  <si>
    <t>161 (2 d)</t>
  </si>
  <si>
    <t>0.12 (2 d)</t>
  </si>
  <si>
    <t>13.5/61/43 (2 d)</t>
  </si>
  <si>
    <t>76,000 (2 d)</t>
  </si>
  <si>
    <t>10.3/103/64 (2 d)</t>
  </si>
  <si>
    <t>2.7 (12 d)</t>
  </si>
  <si>
    <t>xx (12 d)</t>
  </si>
  <si>
    <t>1,320 (13 d)</t>
  </si>
  <si>
    <t>119 (13 d)</t>
  </si>
  <si>
    <t>1.94 (13 d)</t>
  </si>
  <si>
    <t>Pos (0.55; 3 d)</t>
  </si>
  <si>
    <t>Neg (0.21; 3 d)</t>
  </si>
  <si>
    <t>xxx (3 d)</t>
  </si>
  <si>
    <t>43,000 (3 d)</t>
  </si>
  <si>
    <t>3,555 (3 d)</t>
  </si>
  <si>
    <t>406 (3 d)</t>
  </si>
  <si>
    <t>192 (3 d)</t>
  </si>
  <si>
    <t>0.39 (3 d)</t>
  </si>
  <si>
    <t>0.56 (3 d)</t>
  </si>
  <si>
    <t>11.3/88/42 (3 d)</t>
  </si>
  <si>
    <t>2,772 (23 d)</t>
  </si>
  <si>
    <t>1,009 (23 d)</t>
  </si>
  <si>
    <t>0.71 (23 d)</t>
  </si>
  <si>
    <t>0.21 (23 d)</t>
  </si>
  <si>
    <t>12.5/72/41 (3 d)</t>
  </si>
  <si>
    <t>74,000 (3 d)</t>
  </si>
  <si>
    <t>Pos (2.34; &lt;3 d)</t>
  </si>
  <si>
    <t>Pos (3.4; &lt;3 d)</t>
  </si>
  <si>
    <t>Pos (1.54; &lt;3 d)</t>
  </si>
  <si>
    <t>10.4/102/46 (3 d)</t>
  </si>
  <si>
    <t>78,000 (3 d)</t>
  </si>
  <si>
    <t>2,387 (3 d</t>
  </si>
  <si>
    <t>0.2 (3 d)</t>
  </si>
  <si>
    <t>0.7 (3 d)</t>
  </si>
  <si>
    <t>Died (3 d)</t>
  </si>
  <si>
    <t>Pos (1.33; &lt;3 d)</t>
  </si>
  <si>
    <t>Pos (2.35; &lt;3 d)</t>
  </si>
  <si>
    <t>10.5/100/29 (3 d)</t>
  </si>
  <si>
    <t>Pos (3.2; &lt;3 d)</t>
  </si>
  <si>
    <t>0.75 (3 d)</t>
  </si>
  <si>
    <t>12.5/100/49 (3 d)</t>
  </si>
  <si>
    <t>91,000 (3 d)</t>
  </si>
  <si>
    <t>0.24 (3 d)</t>
  </si>
  <si>
    <t>0.78 (3 d)</t>
  </si>
  <si>
    <t>92,000 (4 d)</t>
  </si>
  <si>
    <t>x (4 d)</t>
  </si>
  <si>
    <t>56,000 (4 d)</t>
  </si>
  <si>
    <t>993 (4 d)</t>
  </si>
  <si>
    <t>90 (4 d)</t>
  </si>
  <si>
    <t>57 (4 d)</t>
  </si>
  <si>
    <t>0.49 (4 d)</t>
  </si>
  <si>
    <t>0.8 (4 d)</t>
  </si>
  <si>
    <t>14.5/50/55 (4 d)</t>
  </si>
  <si>
    <t>Died (4 d)</t>
  </si>
  <si>
    <t>Pos (3.24; &lt;4 d)</t>
  </si>
  <si>
    <t>Pos (0.77; 4 d)</t>
  </si>
  <si>
    <t>10.6/98/33 (4 d)</t>
  </si>
  <si>
    <t>Pos (0.66; 4 d)</t>
  </si>
  <si>
    <t>49,000 (4 d)</t>
  </si>
  <si>
    <t>Pos (0.8; 4 d)</t>
  </si>
  <si>
    <t>Pos (3.4; &lt;4 d)</t>
  </si>
  <si>
    <t>597 (24 d)</t>
  </si>
  <si>
    <t>3.8 (14 d)</t>
  </si>
  <si>
    <t>877 (4 d)</t>
  </si>
  <si>
    <t>Pos (3.47; 4 d)</t>
  </si>
  <si>
    <t>Pos (2.82; 4 d)</t>
  </si>
  <si>
    <t>59,000 (4 d)</t>
  </si>
  <si>
    <t>0.56 (4 d)</t>
  </si>
  <si>
    <t>1.5 (4 d)</t>
  </si>
  <si>
    <t>60,000 (4 d)</t>
  </si>
  <si>
    <t>11.5/85/47 (4 d)</t>
  </si>
  <si>
    <t>xxx (4 d)</t>
  </si>
  <si>
    <t>5,747 (4 d)</t>
  </si>
  <si>
    <t>401 (4 d)</t>
  </si>
  <si>
    <t>1.7 (4 d)</t>
  </si>
  <si>
    <t>Pos (1.73; 4 d)</t>
  </si>
  <si>
    <t>129,000 (4 d)</t>
  </si>
  <si>
    <t>0.23 (4 d)</t>
  </si>
  <si>
    <t>0.86 (4 d)</t>
  </si>
  <si>
    <t>Pos (0.93; 4 d)</t>
  </si>
  <si>
    <t>1,603 (5 d)</t>
  </si>
  <si>
    <t>0.92 (5 d)</t>
  </si>
  <si>
    <t>Pos (3.53; &lt;5 d)</t>
  </si>
  <si>
    <t>Pos (2.04; &lt;5 d)</t>
  </si>
  <si>
    <t>xxx (5 d)</t>
  </si>
  <si>
    <t>38,000 (5 d)</t>
  </si>
  <si>
    <t>1.52 (5 d)</t>
  </si>
  <si>
    <t>11.4/87/46 (5 d)</t>
  </si>
  <si>
    <t>Pos (3; &lt;5 d)</t>
  </si>
  <si>
    <t>0.27 (15 d)</t>
  </si>
  <si>
    <t>Pos (2.14; &lt;5 d)</t>
  </si>
  <si>
    <t>Pos (1.99; &lt;5 d)</t>
  </si>
  <si>
    <t>2,346 (5 d)</t>
  </si>
  <si>
    <t>12.9/67/45 (5 d)</t>
  </si>
  <si>
    <t>4,368 (5 d)</t>
  </si>
  <si>
    <t>Pos (0.8; 5 d)</t>
  </si>
  <si>
    <t>Pos (0.6; 5 d)</t>
  </si>
  <si>
    <t>40,000 (5 d)</t>
  </si>
  <si>
    <t>Pos (0.64; 5 d)</t>
  </si>
  <si>
    <t>352 (5 d)</t>
  </si>
  <si>
    <t>240 (5 d)</t>
  </si>
  <si>
    <t>Pos (2.45; &lt;5 d)</t>
  </si>
  <si>
    <t>Pos (0.62; 5 d)</t>
  </si>
  <si>
    <t>68,000 (5 d)</t>
  </si>
  <si>
    <t>0.34 (5 d)</t>
  </si>
  <si>
    <t>1.4 (5 d)</t>
  </si>
  <si>
    <t>xx (5 d)</t>
  </si>
  <si>
    <t>2,100 (5 d)</t>
  </si>
  <si>
    <t>276 (5 d)</t>
  </si>
  <si>
    <t>131 (5 d)</t>
  </si>
  <si>
    <t>10.6/98/48 (5 d)</t>
  </si>
  <si>
    <t>74,000 (5 d)</t>
  </si>
  <si>
    <t>0.17 (5 d)</t>
  </si>
  <si>
    <t>0.72 (5 d)</t>
  </si>
  <si>
    <t>13.6/60/71 (5 d)</t>
  </si>
  <si>
    <t>52,000 (6 d)</t>
  </si>
  <si>
    <t>0.58 (6 d)</t>
  </si>
  <si>
    <t>15.0/48/78 (6 d)</t>
  </si>
  <si>
    <t>Died (16 d)</t>
  </si>
  <si>
    <t>Pos (3.52; &lt;6 d)</t>
  </si>
  <si>
    <t>Pos (3.55; &lt;6 d)</t>
  </si>
  <si>
    <t>Pos (3.5; &lt;6 d)</t>
  </si>
  <si>
    <t>Pos (3.08; &lt;6 d)</t>
  </si>
  <si>
    <t>11.3/88/49 (6 d)</t>
  </si>
  <si>
    <t>Pos (0.77; 6 d)</t>
  </si>
  <si>
    <t>51,000 (6 d)</t>
  </si>
  <si>
    <t>11.1/91/46 (6 d)</t>
  </si>
  <si>
    <t>x (6 d)</t>
  </si>
  <si>
    <t>27,000 (6 d)</t>
  </si>
  <si>
    <t>xxx (6 d)</t>
  </si>
  <si>
    <t>90,000 (6 d)</t>
  </si>
  <si>
    <t>489 (6 d)</t>
  </si>
  <si>
    <t>216 (6 d)</t>
  </si>
  <si>
    <t>0.31 (6 d)</t>
  </si>
  <si>
    <t>88,000 (6 d)</t>
  </si>
  <si>
    <t>xx (6 d)</t>
  </si>
  <si>
    <t>710 (6 d)</t>
  </si>
  <si>
    <t>433 (6 d)</t>
  </si>
  <si>
    <t>0.29 (6 d)</t>
  </si>
  <si>
    <t>0.65 (6 d)</t>
  </si>
  <si>
    <t>85,000 (6 d)</t>
  </si>
  <si>
    <t>227  (6 d)</t>
  </si>
  <si>
    <t>1,109 (6 d)</t>
  </si>
  <si>
    <t>10.4/102/46 (6 d)</t>
  </si>
  <si>
    <t>33,000 (6 d)</t>
  </si>
  <si>
    <t>2,604 (6 d)</t>
  </si>
  <si>
    <t>253 (6 d)</t>
  </si>
  <si>
    <t>130 (6 d)</t>
  </si>
  <si>
    <t>0.13 (6 d)</t>
  </si>
  <si>
    <t>0.5 (6 d)</t>
  </si>
  <si>
    <t>13.5/61/45 (6 d)</t>
  </si>
  <si>
    <t>54,000 (6 d)</t>
  </si>
  <si>
    <t>Pos (0.56; 6 d)</t>
  </si>
  <si>
    <t>42,000 (6 d)</t>
  </si>
  <si>
    <t>1,262 (6 d)</t>
  </si>
  <si>
    <t>Pos (0.76; 6 d)</t>
  </si>
  <si>
    <t>40,000 (6 d)</t>
  </si>
  <si>
    <t>Pos (3.02; &lt;7 d)</t>
  </si>
  <si>
    <t>Pos (2.33; &lt;7 d)</t>
  </si>
  <si>
    <t>19,000 (7 d)</t>
  </si>
  <si>
    <t>x (7 d)</t>
  </si>
  <si>
    <t>Pos (3.29; &lt;7 d)</t>
  </si>
  <si>
    <t>Pos (1.3; &lt;7 d)</t>
  </si>
  <si>
    <t>xx (7 d)</t>
  </si>
  <si>
    <t>38,000 (7 d)</t>
  </si>
  <si>
    <t>2,071 (7 d)</t>
  </si>
  <si>
    <t>151 (7 d)</t>
  </si>
  <si>
    <t>58 (7 d)</t>
  </si>
  <si>
    <t>0.22 (7 d)</t>
  </si>
  <si>
    <t>0.37 (7 d)</t>
  </si>
  <si>
    <t>14.8/50/68 (7 d)</t>
  </si>
  <si>
    <t>Died (7 d)</t>
  </si>
  <si>
    <t>5,800 (7 d)</t>
  </si>
  <si>
    <t>1,475 (7 d)</t>
  </si>
  <si>
    <t>1,071 (7 d)</t>
  </si>
  <si>
    <t>17.90/40/58 (7 d)</t>
  </si>
  <si>
    <t>904 (7 d)</t>
  </si>
  <si>
    <t>xxx (7 d)</t>
  </si>
  <si>
    <t>1,391 (7 d)</t>
  </si>
  <si>
    <t>71 (7 d)</t>
  </si>
  <si>
    <t>53 (7 d)</t>
  </si>
  <si>
    <t>0.49 (7 d)</t>
  </si>
  <si>
    <t>0.73 (7 d)</t>
  </si>
  <si>
    <t>688 (7 d)</t>
  </si>
  <si>
    <t>1,085 (7 d)</t>
  </si>
  <si>
    <t>2,028 (7 d)</t>
  </si>
  <si>
    <t>24,000 (7 d)</t>
  </si>
  <si>
    <t>5,059 (7 d</t>
  </si>
  <si>
    <t>1,377 (7 d)</t>
  </si>
  <si>
    <t>690 (7 d)</t>
  </si>
  <si>
    <t>0.28 (7 d)</t>
  </si>
  <si>
    <t>1.3 (7 d)</t>
  </si>
  <si>
    <t>16.5/44/60 (7 d)</t>
  </si>
  <si>
    <t>2,446 (7 d)</t>
  </si>
  <si>
    <t>314 (7 d)</t>
  </si>
  <si>
    <t>226 (7 d)</t>
  </si>
  <si>
    <t>0.18 (7 d)</t>
  </si>
  <si>
    <t>0.48 (7 d)</t>
  </si>
  <si>
    <t>123 (7 d)</t>
  </si>
  <si>
    <t>75 (7 d)</t>
  </si>
  <si>
    <t>4,626 (7 d)</t>
  </si>
  <si>
    <t>1,97 (7 d)</t>
  </si>
  <si>
    <t>810 (7 d)</t>
  </si>
  <si>
    <t>1.45 (7 d)</t>
  </si>
  <si>
    <t>1,202 (7 d)</t>
  </si>
  <si>
    <t>92 (7 d)</t>
  </si>
  <si>
    <t>1,986 (7 d)</t>
  </si>
  <si>
    <t>3,684 (8 d)</t>
  </si>
  <si>
    <t>436 (8 d)</t>
  </si>
  <si>
    <t>2,555 (8 d)</t>
  </si>
  <si>
    <t>68,000 (8 d)</t>
  </si>
  <si>
    <t>Pos (3.54; &lt;8 d)</t>
  </si>
  <si>
    <t>Pos (3.33; &lt;8 d)</t>
  </si>
  <si>
    <t>xx (8 d)</t>
  </si>
  <si>
    <t>132  (8 d)</t>
  </si>
  <si>
    <t>xxx (8 d)</t>
  </si>
  <si>
    <t>4,194 (8 d)</t>
  </si>
  <si>
    <t>206 (8 d)</t>
  </si>
  <si>
    <t>Died (8 d)</t>
  </si>
  <si>
    <t>1,197 (8 d)</t>
  </si>
  <si>
    <t>81 (8 d)</t>
  </si>
  <si>
    <t>0,68 (8 d)</t>
  </si>
  <si>
    <t>433 (8 d)</t>
  </si>
  <si>
    <t>x (9 d)</t>
  </si>
  <si>
    <t>762 (9 d)</t>
  </si>
  <si>
    <t>398 (9 d)</t>
  </si>
  <si>
    <t>372 (9 d)</t>
  </si>
  <si>
    <t>302 (9 d)</t>
  </si>
  <si>
    <t>167 (9 d)</t>
  </si>
  <si>
    <t>0.9 (9 d)</t>
  </si>
  <si>
    <t>0,49 (9 d)</t>
  </si>
  <si>
    <t>94 (9 d)</t>
  </si>
  <si>
    <t>0.45 (9 d)</t>
  </si>
  <si>
    <t>1,575 (9 d)</t>
  </si>
  <si>
    <t>xxx (9 d)</t>
  </si>
  <si>
    <t>292 (9 d</t>
  </si>
  <si>
    <t>xx (9 d)</t>
  </si>
  <si>
    <t>186 (9 d)</t>
  </si>
  <si>
    <t>145 (9 d)</t>
  </si>
  <si>
    <t>Pos (0.73; 9 d)</t>
  </si>
  <si>
    <t>4.41 (10 d)</t>
  </si>
  <si>
    <t>x (10 d)</t>
  </si>
  <si>
    <t>2,053 (10 d)</t>
  </si>
  <si>
    <t>606 (10 d)</t>
  </si>
  <si>
    <t>389 (10 d)</t>
  </si>
  <si>
    <t>0.37 (10 d)</t>
  </si>
  <si>
    <t>0.91 (10 d)</t>
  </si>
  <si>
    <t>780 (10 d)</t>
  </si>
  <si>
    <t>144 (10 d)</t>
  </si>
  <si>
    <t>0.49 (10 d)</t>
  </si>
  <si>
    <t>Pos (0.78; ≤0 d)</t>
  </si>
  <si>
    <t>4.5 (10 d)</t>
  </si>
  <si>
    <t>Pos (0.96; ≤0 d)</t>
  </si>
  <si>
    <t>12.4/73/61 (10 d)</t>
  </si>
  <si>
    <t>Pos (1.16; ≤0 d)</t>
  </si>
  <si>
    <t>0.95 (10 d)</t>
  </si>
  <si>
    <t>11.0/93/28 (0 d)</t>
  </si>
  <si>
    <t>1,010 (10 d)</t>
  </si>
  <si>
    <t>85 (10 d)</t>
  </si>
  <si>
    <t>177 (10 d)</t>
  </si>
  <si>
    <r>
      <t>Neg (0.31; 1 d)</t>
    </r>
    <r>
      <rPr>
        <vertAlign val="superscript"/>
        <sz val="8"/>
        <rFont val="Times New Roman"/>
        <family val="1"/>
      </rPr>
      <t>&amp;</t>
    </r>
  </si>
  <si>
    <t>Oxygen delivery and Ribavirin</t>
  </si>
  <si>
    <t>&lt;1</t>
  </si>
  <si>
    <t>45,000 (3 d)</t>
  </si>
  <si>
    <r>
      <t xml:space="preserve">Table S1. </t>
    </r>
    <r>
      <rPr>
        <sz val="12"/>
        <color theme="1"/>
        <rFont val="Times New Roman"/>
        <family val="1"/>
      </rPr>
      <t>Complete clinical data from 33</t>
    </r>
    <r>
      <rPr>
        <sz val="8"/>
        <color theme="1"/>
        <rFont val="Cambria"/>
        <family val="1"/>
      </rPr>
      <t> </t>
    </r>
    <r>
      <rPr>
        <sz val="12"/>
        <color theme="1"/>
        <rFont val="Times New Roman"/>
        <family val="1"/>
      </rPr>
      <t>Andes virus hantavirus pulmonary syndrome patients. For virologic testing, the earliest possible sample was used for quantification. For serological testing, the most abnormal or elevated values were reported.</t>
    </r>
  </si>
  <si>
    <t>Liver injury markers</t>
  </si>
  <si>
    <t>Renal injury markers</t>
  </si>
  <si>
    <t>10.7/97/51 (6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</si>
</sst>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mbria"/>
      <family val="1"/>
    </font>
    <font>
      <b/>
      <sz val="12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vertAlign val="superscript"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 applyAlignment="1"/>
    <xf numFmtId="11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1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37</xdr:row>
      <xdr:rowOff>38100</xdr:rowOff>
    </xdr:from>
    <xdr:to>
      <xdr:col>21</xdr:col>
      <xdr:colOff>809625</xdr:colOff>
      <xdr:row>40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A5F086-4CE9-49FD-9B11-85280B7363BB}"/>
            </a:ext>
          </a:extLst>
        </xdr:cNvPr>
        <xdr:cNvSpPr txBox="1"/>
      </xdr:nvSpPr>
      <xdr:spPr>
        <a:xfrm>
          <a:off x="123825" y="7115175"/>
          <a:ext cx="209169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Severity of leukocytosis: x: 4,500‒11,500/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; xx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14,950‒19,550/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l; xxx: &gt;19,550/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Severity of 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neutrophilia: x: 6,000-9,000/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l; x: 9,000‒12,000/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;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xxx: &gt;12.000/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Severity of 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lymphopenia: x: 750‒1500/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;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xx: 375‒750/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l; xxx: &lt;375/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Platelets: 150,000‒450,000/</a:t>
          </a:r>
          <a:r>
            <a:rPr lang="el-GR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μ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Reference ranges: LDH: 313‒618 U/l; AST: 17‒59 U/l; ALT: 21‒72 U/l; urea: 0.15‒0.45 g/l; creatinine: 0.66‒1.25 mg/dl (women) and 0.52‒1.04 mg/dl (men).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utoff for ANDV-specific IgM: 0.3 (OD</a:t>
          </a:r>
          <a:r>
            <a:rPr lang="en-US" sz="105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450 nm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); cutoff for ANDV-specific IgG: 0.55 (OD</a:t>
          </a:r>
          <a:r>
            <a:rPr lang="en-US" sz="105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450 nm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); prothrombin time (PT): 11‒13.5 s; prothrombin: 60‒130%; activated partial thromboplastin time (aPTT): 26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‒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37.5 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Abbreviations: HS, hemodynamic support; MV, mechanical ventilation; NA, not available; NR, normal range; NN, not needed; OD: optical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density; 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dpso: days post-symptom onset. </a:t>
          </a:r>
          <a:r>
            <a:rPr lang="en-US" sz="105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&amp;</a:t>
          </a:r>
          <a:r>
            <a:rPr lang="en-US" sz="10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sample 149 dpso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was convalescent with 2.9 OD</a:t>
          </a:r>
          <a:r>
            <a:rPr lang="en-US" sz="105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450 nm</a:t>
          </a:r>
          <a:r>
            <a:rPr lang="en-US" sz="10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sz="105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abSelected="1" workbookViewId="0">
      <selection activeCell="E9" sqref="E9"/>
    </sheetView>
  </sheetViews>
  <sheetFormatPr defaultColWidth="9.140625" defaultRowHeight="15" x14ac:dyDescent="0.25"/>
  <cols>
    <col min="1" max="1" width="7.5703125" style="4" bestFit="1" customWidth="1"/>
    <col min="2" max="2" width="15.28515625" style="4" bestFit="1" customWidth="1"/>
    <col min="3" max="3" width="15" style="4" bestFit="1" customWidth="1"/>
    <col min="4" max="4" width="16.7109375" style="4" customWidth="1"/>
    <col min="5" max="5" width="13.85546875" style="4" customWidth="1"/>
    <col min="6" max="6" width="13" style="4" customWidth="1"/>
    <col min="7" max="7" width="14.42578125" style="4" customWidth="1"/>
    <col min="8" max="8" width="19.42578125" style="4" customWidth="1"/>
    <col min="9" max="9" width="12.7109375" style="4" bestFit="1" customWidth="1"/>
    <col min="10" max="10" width="12.42578125" style="4" bestFit="1" customWidth="1"/>
    <col min="11" max="11" width="12.7109375" style="4" bestFit="1" customWidth="1"/>
    <col min="12" max="12" width="25.5703125" style="4" bestFit="1" customWidth="1"/>
    <col min="13" max="13" width="16.140625" style="4" bestFit="1" customWidth="1"/>
    <col min="14" max="14" width="29.7109375" style="4" customWidth="1"/>
    <col min="15" max="15" width="16.5703125" style="4" bestFit="1" customWidth="1"/>
    <col min="16" max="16" width="18" style="4" bestFit="1" customWidth="1"/>
    <col min="17" max="17" width="15" style="4" bestFit="1" customWidth="1"/>
    <col min="18" max="18" width="9.140625" style="4" bestFit="1" customWidth="1"/>
    <col min="19" max="19" width="21.42578125" style="4" bestFit="1" customWidth="1"/>
    <col min="20" max="20" width="10.28515625" style="4" bestFit="1" customWidth="1"/>
    <col min="21" max="21" width="9.7109375" style="4" bestFit="1" customWidth="1"/>
    <col min="22" max="22" width="12.42578125" style="4" bestFit="1" customWidth="1"/>
    <col min="23" max="16384" width="9.140625" style="4"/>
  </cols>
  <sheetData>
    <row r="1" spans="1:22" ht="15.75" x14ac:dyDescent="0.25">
      <c r="A1" s="19" t="s">
        <v>341</v>
      </c>
    </row>
    <row r="2" spans="1:22" x14ac:dyDescent="0.25">
      <c r="A2" s="18"/>
    </row>
    <row r="3" spans="1:22" x14ac:dyDescent="0.25">
      <c r="A3" s="3"/>
      <c r="B3" s="21" t="s">
        <v>27</v>
      </c>
      <c r="C3" s="21"/>
      <c r="D3" s="21"/>
      <c r="E3" s="21" t="s">
        <v>26</v>
      </c>
      <c r="F3" s="21"/>
      <c r="G3" s="21"/>
      <c r="H3" s="21"/>
      <c r="I3" s="22" t="s">
        <v>342</v>
      </c>
      <c r="J3" s="22"/>
      <c r="K3" s="22" t="s">
        <v>343</v>
      </c>
      <c r="L3" s="22"/>
      <c r="M3" s="22"/>
      <c r="N3" s="22"/>
      <c r="O3" s="21" t="s">
        <v>28</v>
      </c>
      <c r="P3" s="21"/>
      <c r="Q3" s="21"/>
      <c r="R3" s="21"/>
      <c r="S3" s="21"/>
      <c r="T3" s="21"/>
      <c r="U3" s="21"/>
      <c r="V3" s="21"/>
    </row>
    <row r="4" spans="1:22" ht="15.75" thickBot="1" x14ac:dyDescent="0.3">
      <c r="A4" s="1" t="s">
        <v>18</v>
      </c>
      <c r="B4" s="5" t="s">
        <v>19</v>
      </c>
      <c r="C4" s="1" t="s">
        <v>41</v>
      </c>
      <c r="D4" s="1" t="s">
        <v>42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34</v>
      </c>
      <c r="J4" s="1" t="s">
        <v>35</v>
      </c>
      <c r="K4" s="1" t="s">
        <v>33</v>
      </c>
      <c r="L4" s="1" t="s">
        <v>38</v>
      </c>
      <c r="M4" s="1" t="s">
        <v>36</v>
      </c>
      <c r="N4" s="1" t="s">
        <v>37</v>
      </c>
      <c r="O4" s="1" t="s">
        <v>39</v>
      </c>
      <c r="P4" s="1" t="s">
        <v>20</v>
      </c>
      <c r="Q4" s="1" t="s">
        <v>21</v>
      </c>
      <c r="R4" s="1" t="s">
        <v>40</v>
      </c>
      <c r="S4" s="1" t="s">
        <v>22</v>
      </c>
      <c r="T4" s="1" t="s">
        <v>23</v>
      </c>
      <c r="U4" s="1" t="s">
        <v>24</v>
      </c>
      <c r="V4" s="1" t="s">
        <v>25</v>
      </c>
    </row>
    <row r="5" spans="1:22" x14ac:dyDescent="0.25">
      <c r="A5" s="2">
        <v>1</v>
      </c>
      <c r="B5" s="6">
        <v>119337478.68291318</v>
      </c>
      <c r="C5" s="2" t="s">
        <v>234</v>
      </c>
      <c r="D5" s="2" t="s">
        <v>235</v>
      </c>
      <c r="E5" s="7" t="s">
        <v>300</v>
      </c>
      <c r="F5" s="7" t="s">
        <v>0</v>
      </c>
      <c r="G5" s="2" t="s">
        <v>1</v>
      </c>
      <c r="H5" s="7" t="s">
        <v>192</v>
      </c>
      <c r="I5" s="2" t="s">
        <v>301</v>
      </c>
      <c r="J5" s="2" t="s">
        <v>302</v>
      </c>
      <c r="K5" s="2" t="s">
        <v>157</v>
      </c>
      <c r="L5" s="2" t="s">
        <v>344</v>
      </c>
      <c r="M5" s="2" t="s">
        <v>193</v>
      </c>
      <c r="N5" s="2" t="s">
        <v>158</v>
      </c>
      <c r="O5" s="2">
        <v>4</v>
      </c>
      <c r="P5" s="2">
        <v>5</v>
      </c>
      <c r="Q5" s="2">
        <v>5</v>
      </c>
      <c r="R5" s="8">
        <v>5</v>
      </c>
      <c r="S5" s="9" t="s">
        <v>2</v>
      </c>
      <c r="T5" s="9" t="s">
        <v>3</v>
      </c>
      <c r="U5" s="9" t="s">
        <v>4</v>
      </c>
      <c r="V5" s="8" t="s">
        <v>5</v>
      </c>
    </row>
    <row r="6" spans="1:22" x14ac:dyDescent="0.25">
      <c r="A6" s="2">
        <v>2</v>
      </c>
      <c r="B6" s="6">
        <v>127844061.34296907</v>
      </c>
      <c r="C6" s="2" t="s">
        <v>159</v>
      </c>
      <c r="D6" s="2" t="s">
        <v>160</v>
      </c>
      <c r="E6" s="7" t="s">
        <v>161</v>
      </c>
      <c r="F6" s="2" t="s">
        <v>6</v>
      </c>
      <c r="G6" s="2" t="s">
        <v>6</v>
      </c>
      <c r="H6" s="7" t="s">
        <v>236</v>
      </c>
      <c r="I6" s="2" t="s">
        <v>285</v>
      </c>
      <c r="J6" s="2" t="s">
        <v>303</v>
      </c>
      <c r="K6" s="2" t="s">
        <v>284</v>
      </c>
      <c r="L6" s="2" t="s">
        <v>194</v>
      </c>
      <c r="M6" s="2" t="s">
        <v>82</v>
      </c>
      <c r="N6" s="2" t="s">
        <v>317</v>
      </c>
      <c r="O6" s="2">
        <v>3</v>
      </c>
      <c r="P6" s="2">
        <v>4</v>
      </c>
      <c r="Q6" s="2">
        <v>4</v>
      </c>
      <c r="R6" s="8">
        <v>13</v>
      </c>
      <c r="S6" s="9" t="s">
        <v>7</v>
      </c>
      <c r="T6" s="9" t="s">
        <v>8</v>
      </c>
      <c r="U6" s="9" t="s">
        <v>9</v>
      </c>
      <c r="V6" s="8" t="s">
        <v>195</v>
      </c>
    </row>
    <row r="7" spans="1:22" x14ac:dyDescent="0.25">
      <c r="A7" s="2">
        <v>3</v>
      </c>
      <c r="B7" s="6">
        <v>26237013.988865376</v>
      </c>
      <c r="C7" s="2" t="s">
        <v>196</v>
      </c>
      <c r="D7" s="2" t="s">
        <v>197</v>
      </c>
      <c r="E7" s="7" t="s">
        <v>318</v>
      </c>
      <c r="F7" s="2" t="s">
        <v>10</v>
      </c>
      <c r="G7" s="2" t="s">
        <v>1</v>
      </c>
      <c r="H7" s="7" t="s">
        <v>162</v>
      </c>
      <c r="I7" s="2" t="s">
        <v>304</v>
      </c>
      <c r="J7" s="2" t="s">
        <v>305</v>
      </c>
      <c r="K7" s="2" t="s">
        <v>286</v>
      </c>
      <c r="L7" s="2" t="s">
        <v>164</v>
      </c>
      <c r="M7" s="2" t="s">
        <v>306</v>
      </c>
      <c r="N7" s="2" t="s">
        <v>163</v>
      </c>
      <c r="O7" s="2">
        <v>4</v>
      </c>
      <c r="P7" s="2">
        <v>5</v>
      </c>
      <c r="Q7" s="2">
        <v>6</v>
      </c>
      <c r="R7" s="8">
        <v>21</v>
      </c>
      <c r="S7" s="9" t="s">
        <v>7</v>
      </c>
      <c r="T7" s="9" t="s">
        <v>11</v>
      </c>
      <c r="U7" s="9" t="s">
        <v>9</v>
      </c>
      <c r="V7" s="8" t="s">
        <v>5</v>
      </c>
    </row>
    <row r="8" spans="1:22" x14ac:dyDescent="0.25">
      <c r="A8" s="2">
        <v>4</v>
      </c>
      <c r="B8" s="6">
        <v>45512566.781082973</v>
      </c>
      <c r="C8" s="2" t="s">
        <v>198</v>
      </c>
      <c r="D8" s="2" t="s">
        <v>199</v>
      </c>
      <c r="E8" s="7" t="s">
        <v>49</v>
      </c>
      <c r="F8" s="7" t="s">
        <v>0</v>
      </c>
      <c r="G8" s="7" t="s">
        <v>0</v>
      </c>
      <c r="H8" s="7" t="s">
        <v>287</v>
      </c>
      <c r="I8" s="2" t="s">
        <v>320</v>
      </c>
      <c r="J8" s="2" t="s">
        <v>321</v>
      </c>
      <c r="K8" s="2" t="s">
        <v>319</v>
      </c>
      <c r="L8" s="2" t="s">
        <v>200</v>
      </c>
      <c r="M8" s="2" t="s">
        <v>322</v>
      </c>
      <c r="N8" s="2" t="s">
        <v>323</v>
      </c>
      <c r="O8" s="2">
        <v>5</v>
      </c>
      <c r="P8" s="2">
        <v>6</v>
      </c>
      <c r="Q8" s="2">
        <v>6</v>
      </c>
      <c r="R8" s="8">
        <v>2</v>
      </c>
      <c r="S8" s="9" t="s">
        <v>2</v>
      </c>
      <c r="T8" s="9" t="s">
        <v>3</v>
      </c>
      <c r="U8" s="9" t="s">
        <v>4</v>
      </c>
      <c r="V8" s="8" t="s">
        <v>5</v>
      </c>
    </row>
    <row r="9" spans="1:22" x14ac:dyDescent="0.25">
      <c r="A9" s="2">
        <v>5</v>
      </c>
      <c r="B9" s="6">
        <v>24491368.367454652</v>
      </c>
      <c r="C9" s="2" t="s">
        <v>288</v>
      </c>
      <c r="D9" s="2" t="s">
        <v>289</v>
      </c>
      <c r="E9" s="7" t="s">
        <v>237</v>
      </c>
      <c r="F9" s="2" t="s">
        <v>10</v>
      </c>
      <c r="G9" s="2" t="s">
        <v>10</v>
      </c>
      <c r="H9" s="7" t="s">
        <v>121</v>
      </c>
      <c r="I9" s="9" t="s">
        <v>12</v>
      </c>
      <c r="J9" s="9" t="s">
        <v>12</v>
      </c>
      <c r="K9" s="2" t="s">
        <v>324</v>
      </c>
      <c r="L9" s="9" t="s">
        <v>12</v>
      </c>
      <c r="M9" s="9" t="s">
        <v>12</v>
      </c>
      <c r="N9" s="9" t="s">
        <v>12</v>
      </c>
      <c r="O9" s="2">
        <v>0</v>
      </c>
      <c r="P9" s="2" t="s">
        <v>13</v>
      </c>
      <c r="Q9" s="2" t="s">
        <v>13</v>
      </c>
      <c r="R9" s="2" t="s">
        <v>13</v>
      </c>
      <c r="S9" s="2" t="s">
        <v>13</v>
      </c>
      <c r="T9" s="9" t="s">
        <v>14</v>
      </c>
      <c r="U9" s="9" t="s">
        <v>4</v>
      </c>
      <c r="V9" s="8" t="s">
        <v>5</v>
      </c>
    </row>
    <row r="10" spans="1:22" x14ac:dyDescent="0.25">
      <c r="A10" s="2">
        <v>6</v>
      </c>
      <c r="B10" s="6">
        <v>26237013.988865376</v>
      </c>
      <c r="C10" s="2" t="s">
        <v>238</v>
      </c>
      <c r="D10" s="2" t="s">
        <v>239</v>
      </c>
      <c r="E10" s="7" t="s">
        <v>240</v>
      </c>
      <c r="F10" s="2" t="s">
        <v>10</v>
      </c>
      <c r="G10" s="2" t="s">
        <v>6</v>
      </c>
      <c r="H10" s="7" t="s">
        <v>241</v>
      </c>
      <c r="I10" s="2" t="s">
        <v>243</v>
      </c>
      <c r="J10" s="2" t="s">
        <v>244</v>
      </c>
      <c r="K10" s="2" t="s">
        <v>242</v>
      </c>
      <c r="L10" s="2" t="s">
        <v>247</v>
      </c>
      <c r="M10" s="2" t="s">
        <v>245</v>
      </c>
      <c r="N10" s="2" t="s">
        <v>246</v>
      </c>
      <c r="O10" s="2">
        <v>4</v>
      </c>
      <c r="P10" s="2">
        <v>7</v>
      </c>
      <c r="Q10" s="2">
        <v>7</v>
      </c>
      <c r="R10" s="8">
        <v>0</v>
      </c>
      <c r="S10" s="9" t="s">
        <v>7</v>
      </c>
      <c r="T10" s="9" t="s">
        <v>8</v>
      </c>
      <c r="U10" s="9" t="s">
        <v>9</v>
      </c>
      <c r="V10" s="8" t="s">
        <v>248</v>
      </c>
    </row>
    <row r="11" spans="1:22" x14ac:dyDescent="0.25">
      <c r="A11" s="2">
        <v>7</v>
      </c>
      <c r="B11" s="6">
        <v>24491368.367454652</v>
      </c>
      <c r="C11" s="2" t="s">
        <v>165</v>
      </c>
      <c r="D11" s="2" t="s">
        <v>201</v>
      </c>
      <c r="E11" s="7" t="s">
        <v>83</v>
      </c>
      <c r="F11" s="7" t="s">
        <v>0</v>
      </c>
      <c r="G11" s="2" t="s">
        <v>6</v>
      </c>
      <c r="H11" s="7" t="s">
        <v>202</v>
      </c>
      <c r="I11" s="2" t="s">
        <v>325</v>
      </c>
      <c r="J11" s="2" t="s">
        <v>85</v>
      </c>
      <c r="K11" s="2" t="s">
        <v>84</v>
      </c>
      <c r="L11" s="2" t="s">
        <v>203</v>
      </c>
      <c r="M11" s="2" t="s">
        <v>86</v>
      </c>
      <c r="N11" s="2" t="s">
        <v>59</v>
      </c>
      <c r="O11" s="2">
        <v>4</v>
      </c>
      <c r="P11" s="2">
        <v>6</v>
      </c>
      <c r="Q11" s="2">
        <v>6</v>
      </c>
      <c r="R11" s="8">
        <v>20</v>
      </c>
      <c r="S11" s="9" t="s">
        <v>7</v>
      </c>
      <c r="T11" s="9" t="s">
        <v>11</v>
      </c>
      <c r="U11" s="9" t="s">
        <v>9</v>
      </c>
      <c r="V11" s="8" t="s">
        <v>5</v>
      </c>
    </row>
    <row r="12" spans="1:22" x14ac:dyDescent="0.25">
      <c r="A12" s="2">
        <v>8</v>
      </c>
      <c r="B12" s="6">
        <v>78950643.628568336</v>
      </c>
      <c r="C12" s="2" t="s">
        <v>87</v>
      </c>
      <c r="D12" s="2" t="s">
        <v>88</v>
      </c>
      <c r="E12" s="7" t="s">
        <v>122</v>
      </c>
      <c r="F12" s="7" t="s">
        <v>6</v>
      </c>
      <c r="G12" s="7" t="s">
        <v>6</v>
      </c>
      <c r="H12" s="7" t="s">
        <v>123</v>
      </c>
      <c r="I12" s="2" t="s">
        <v>125</v>
      </c>
      <c r="J12" s="2" t="s">
        <v>126</v>
      </c>
      <c r="K12" s="2" t="s">
        <v>124</v>
      </c>
      <c r="L12" s="2" t="s">
        <v>129</v>
      </c>
      <c r="M12" s="2" t="s">
        <v>127</v>
      </c>
      <c r="N12" s="2" t="s">
        <v>128</v>
      </c>
      <c r="O12" s="2">
        <v>0</v>
      </c>
      <c r="P12" s="2">
        <v>4</v>
      </c>
      <c r="Q12" s="2">
        <v>4</v>
      </c>
      <c r="R12" s="8">
        <v>1</v>
      </c>
      <c r="S12" s="9" t="s">
        <v>7</v>
      </c>
      <c r="T12" s="9" t="s">
        <v>8</v>
      </c>
      <c r="U12" s="9" t="s">
        <v>9</v>
      </c>
      <c r="V12" s="8" t="s">
        <v>130</v>
      </c>
    </row>
    <row r="13" spans="1:22" x14ac:dyDescent="0.25">
      <c r="A13" s="2">
        <v>9</v>
      </c>
      <c r="B13" s="6">
        <v>55955115.37781623</v>
      </c>
      <c r="C13" s="2" t="s">
        <v>60</v>
      </c>
      <c r="D13" s="2" t="s">
        <v>61</v>
      </c>
      <c r="E13" s="7" t="s">
        <v>204</v>
      </c>
      <c r="F13" s="2" t="s">
        <v>1</v>
      </c>
      <c r="G13" s="2" t="s">
        <v>1</v>
      </c>
      <c r="H13" s="7" t="s">
        <v>205</v>
      </c>
      <c r="I13" s="2" t="s">
        <v>250</v>
      </c>
      <c r="J13" s="2" t="s">
        <v>251</v>
      </c>
      <c r="K13" s="2" t="s">
        <v>249</v>
      </c>
      <c r="L13" s="2" t="s">
        <v>252</v>
      </c>
      <c r="M13" s="2" t="s">
        <v>326</v>
      </c>
      <c r="N13" s="2" t="s">
        <v>166</v>
      </c>
      <c r="O13" s="2">
        <v>2</v>
      </c>
      <c r="P13" s="2">
        <v>2</v>
      </c>
      <c r="Q13" s="2">
        <v>5</v>
      </c>
      <c r="R13" s="8">
        <v>14</v>
      </c>
      <c r="S13" s="9" t="s">
        <v>7</v>
      </c>
      <c r="T13" s="9" t="s">
        <v>11</v>
      </c>
      <c r="U13" s="9" t="s">
        <v>9</v>
      </c>
      <c r="V13" s="8" t="s">
        <v>5</v>
      </c>
    </row>
    <row r="14" spans="1:22" x14ac:dyDescent="0.25">
      <c r="A14" s="2">
        <v>10</v>
      </c>
      <c r="B14" s="6">
        <v>97065752.76318936</v>
      </c>
      <c r="C14" s="2" t="s">
        <v>167</v>
      </c>
      <c r="D14" s="2" t="s">
        <v>168</v>
      </c>
      <c r="E14" s="7" t="s">
        <v>206</v>
      </c>
      <c r="F14" s="2" t="s">
        <v>6</v>
      </c>
      <c r="G14" s="9" t="s">
        <v>12</v>
      </c>
      <c r="H14" s="7" t="s">
        <v>207</v>
      </c>
      <c r="I14" s="2" t="s">
        <v>208</v>
      </c>
      <c r="J14" s="2" t="s">
        <v>209</v>
      </c>
      <c r="K14" s="2" t="s">
        <v>169</v>
      </c>
      <c r="L14" s="2" t="s">
        <v>170</v>
      </c>
      <c r="M14" s="2" t="s">
        <v>210</v>
      </c>
      <c r="N14" s="2" t="s">
        <v>193</v>
      </c>
      <c r="O14" s="2">
        <v>5</v>
      </c>
      <c r="P14" s="2">
        <v>5</v>
      </c>
      <c r="Q14" s="2">
        <v>6</v>
      </c>
      <c r="R14" s="8">
        <v>1</v>
      </c>
      <c r="S14" s="9" t="s">
        <v>7</v>
      </c>
      <c r="T14" s="9" t="s">
        <v>8</v>
      </c>
      <c r="U14" s="9" t="s">
        <v>9</v>
      </c>
      <c r="V14" s="8" t="s">
        <v>248</v>
      </c>
    </row>
    <row r="15" spans="1:22" x14ac:dyDescent="0.25">
      <c r="A15" s="2">
        <v>11</v>
      </c>
      <c r="B15" s="6">
        <v>395787.68139728566</v>
      </c>
      <c r="C15" s="2" t="s">
        <v>131</v>
      </c>
      <c r="D15" s="2" t="s">
        <v>132</v>
      </c>
      <c r="E15" s="7" t="s">
        <v>0</v>
      </c>
      <c r="F15" s="9" t="s">
        <v>12</v>
      </c>
      <c r="G15" s="2" t="s">
        <v>1</v>
      </c>
      <c r="H15" s="7" t="s">
        <v>211</v>
      </c>
      <c r="I15" s="2" t="s">
        <v>307</v>
      </c>
      <c r="J15" s="2" t="s">
        <v>308</v>
      </c>
      <c r="K15" s="2" t="s">
        <v>253</v>
      </c>
      <c r="L15" s="8" t="s">
        <v>133</v>
      </c>
      <c r="M15" s="2" t="s">
        <v>309</v>
      </c>
      <c r="N15" s="2" t="s">
        <v>306</v>
      </c>
      <c r="O15" s="2">
        <v>1</v>
      </c>
      <c r="P15" s="2">
        <v>5</v>
      </c>
      <c r="Q15" s="2" t="s">
        <v>13</v>
      </c>
      <c r="R15" s="2" t="s">
        <v>13</v>
      </c>
      <c r="S15" s="9" t="s">
        <v>2</v>
      </c>
      <c r="T15" s="9" t="s">
        <v>3</v>
      </c>
      <c r="U15" s="9" t="s">
        <v>4</v>
      </c>
      <c r="V15" s="8" t="s">
        <v>5</v>
      </c>
    </row>
    <row r="16" spans="1:22" x14ac:dyDescent="0.25">
      <c r="A16" s="2">
        <v>12</v>
      </c>
      <c r="B16" s="6">
        <v>2526716.5597967766</v>
      </c>
      <c r="C16" s="2" t="s">
        <v>62</v>
      </c>
      <c r="D16" s="2" t="s">
        <v>63</v>
      </c>
      <c r="E16" s="7" t="s">
        <v>89</v>
      </c>
      <c r="F16" s="9" t="s">
        <v>12</v>
      </c>
      <c r="G16" s="2" t="s">
        <v>6</v>
      </c>
      <c r="H16" s="7" t="s">
        <v>90</v>
      </c>
      <c r="I16" s="2" t="s">
        <v>92</v>
      </c>
      <c r="J16" s="2" t="s">
        <v>93</v>
      </c>
      <c r="K16" s="2" t="s">
        <v>91</v>
      </c>
      <c r="L16" s="2" t="s">
        <v>12</v>
      </c>
      <c r="M16" s="2" t="s">
        <v>94</v>
      </c>
      <c r="N16" s="2" t="s">
        <v>95</v>
      </c>
      <c r="O16" s="2">
        <v>0</v>
      </c>
      <c r="P16" s="2">
        <v>4</v>
      </c>
      <c r="Q16" s="2">
        <v>4</v>
      </c>
      <c r="R16" s="8">
        <v>1</v>
      </c>
      <c r="S16" s="9" t="s">
        <v>7</v>
      </c>
      <c r="T16" s="9" t="s">
        <v>8</v>
      </c>
      <c r="U16" s="9" t="s">
        <v>9</v>
      </c>
      <c r="V16" s="8" t="s">
        <v>130</v>
      </c>
    </row>
    <row r="17" spans="1:22" x14ac:dyDescent="0.25">
      <c r="A17" s="2">
        <v>13</v>
      </c>
      <c r="B17" s="6">
        <v>12303081.833121046</v>
      </c>
      <c r="C17" s="2" t="s">
        <v>15</v>
      </c>
      <c r="D17" s="2" t="s">
        <v>43</v>
      </c>
      <c r="E17" s="7" t="s">
        <v>212</v>
      </c>
      <c r="F17" s="2" t="s">
        <v>10</v>
      </c>
      <c r="G17" s="2" t="s">
        <v>6</v>
      </c>
      <c r="H17" s="7" t="s">
        <v>123</v>
      </c>
      <c r="I17" s="2" t="s">
        <v>213</v>
      </c>
      <c r="J17" s="2" t="s">
        <v>214</v>
      </c>
      <c r="K17" s="2" t="s">
        <v>171</v>
      </c>
      <c r="L17" s="8" t="s">
        <v>96</v>
      </c>
      <c r="M17" s="2" t="s">
        <v>215</v>
      </c>
      <c r="N17" s="2" t="s">
        <v>216</v>
      </c>
      <c r="O17" s="2">
        <v>0</v>
      </c>
      <c r="P17" s="2">
        <v>1</v>
      </c>
      <c r="Q17" s="2">
        <v>3</v>
      </c>
      <c r="R17" s="8">
        <v>8</v>
      </c>
      <c r="S17" s="9" t="s">
        <v>7</v>
      </c>
      <c r="T17" s="9" t="s">
        <v>11</v>
      </c>
      <c r="U17" s="9" t="s">
        <v>9</v>
      </c>
      <c r="V17" s="8" t="s">
        <v>5</v>
      </c>
    </row>
    <row r="18" spans="1:22" x14ac:dyDescent="0.25">
      <c r="A18" s="2">
        <v>14</v>
      </c>
      <c r="B18" s="6">
        <v>97065752.76318936</v>
      </c>
      <c r="C18" s="2" t="s">
        <v>134</v>
      </c>
      <c r="D18" s="2" t="s">
        <v>172</v>
      </c>
      <c r="E18" s="7" t="s">
        <v>254</v>
      </c>
      <c r="F18" s="2" t="s">
        <v>6</v>
      </c>
      <c r="G18" s="2" t="s">
        <v>6</v>
      </c>
      <c r="H18" s="7" t="s">
        <v>135</v>
      </c>
      <c r="I18" s="2" t="s">
        <v>256</v>
      </c>
      <c r="J18" s="2" t="s">
        <v>257</v>
      </c>
      <c r="K18" s="2" t="s">
        <v>255</v>
      </c>
      <c r="L18" s="2" t="s">
        <v>12</v>
      </c>
      <c r="M18" s="2" t="s">
        <v>258</v>
      </c>
      <c r="N18" s="2" t="s">
        <v>259</v>
      </c>
      <c r="O18" s="2">
        <v>1</v>
      </c>
      <c r="P18" s="2">
        <v>1</v>
      </c>
      <c r="Q18" s="2">
        <v>5</v>
      </c>
      <c r="R18" s="8">
        <v>3</v>
      </c>
      <c r="S18" s="9" t="s">
        <v>7</v>
      </c>
      <c r="T18" s="9" t="s">
        <v>8</v>
      </c>
      <c r="U18" s="9" t="s">
        <v>9</v>
      </c>
      <c r="V18" s="8" t="s">
        <v>248</v>
      </c>
    </row>
    <row r="19" spans="1:22" x14ac:dyDescent="0.25">
      <c r="A19" s="2">
        <v>15</v>
      </c>
      <c r="B19" s="6">
        <v>39657582.738195807</v>
      </c>
      <c r="C19" s="2" t="s">
        <v>64</v>
      </c>
      <c r="D19" s="2" t="s">
        <v>136</v>
      </c>
      <c r="E19" s="7" t="s">
        <v>290</v>
      </c>
      <c r="F19" s="7" t="s">
        <v>0</v>
      </c>
      <c r="G19" s="7" t="s">
        <v>0</v>
      </c>
      <c r="H19" s="2" t="s">
        <v>217</v>
      </c>
      <c r="I19" s="2" t="s">
        <v>218</v>
      </c>
      <c r="J19" s="2" t="s">
        <v>291</v>
      </c>
      <c r="K19" s="2" t="s">
        <v>310</v>
      </c>
      <c r="L19" s="2" t="s">
        <v>12</v>
      </c>
      <c r="M19" s="2" t="s">
        <v>12</v>
      </c>
      <c r="N19" s="2" t="s">
        <v>12</v>
      </c>
      <c r="O19" s="2">
        <v>0</v>
      </c>
      <c r="P19" s="2">
        <v>1</v>
      </c>
      <c r="Q19" s="2" t="s">
        <v>13</v>
      </c>
      <c r="R19" s="2" t="s">
        <v>13</v>
      </c>
      <c r="S19" s="2" t="s">
        <v>13</v>
      </c>
      <c r="T19" s="9" t="s">
        <v>14</v>
      </c>
      <c r="U19" s="9" t="s">
        <v>4</v>
      </c>
      <c r="V19" s="8" t="s">
        <v>5</v>
      </c>
    </row>
    <row r="20" spans="1:22" x14ac:dyDescent="0.25">
      <c r="A20" s="2">
        <v>16</v>
      </c>
      <c r="B20" s="6">
        <v>52232026.088560738</v>
      </c>
      <c r="C20" s="2" t="s">
        <v>137</v>
      </c>
      <c r="D20" s="2" t="s">
        <v>136</v>
      </c>
      <c r="E20" s="7" t="s">
        <v>311</v>
      </c>
      <c r="F20" s="2" t="s">
        <v>1</v>
      </c>
      <c r="G20" s="2" t="s">
        <v>6</v>
      </c>
      <c r="H20" s="7" t="s">
        <v>65</v>
      </c>
      <c r="I20" s="2" t="s">
        <v>98</v>
      </c>
      <c r="J20" s="2" t="s">
        <v>138</v>
      </c>
      <c r="K20" s="2" t="s">
        <v>97</v>
      </c>
      <c r="L20" s="8" t="s">
        <v>101</v>
      </c>
      <c r="M20" s="2" t="s">
        <v>99</v>
      </c>
      <c r="N20" s="2" t="s">
        <v>100</v>
      </c>
      <c r="O20" s="2">
        <v>2</v>
      </c>
      <c r="P20" s="2">
        <v>1</v>
      </c>
      <c r="Q20" s="2">
        <v>3</v>
      </c>
      <c r="R20" s="8">
        <v>26</v>
      </c>
      <c r="S20" s="9" t="s">
        <v>7</v>
      </c>
      <c r="T20" s="9" t="s">
        <v>11</v>
      </c>
      <c r="U20" s="9" t="s">
        <v>9</v>
      </c>
      <c r="V20" s="8" t="s">
        <v>5</v>
      </c>
    </row>
    <row r="21" spans="1:22" x14ac:dyDescent="0.25">
      <c r="A21" s="2">
        <v>17</v>
      </c>
      <c r="B21" s="6">
        <v>32256675.277393341</v>
      </c>
      <c r="C21" s="2" t="s">
        <v>327</v>
      </c>
      <c r="D21" s="2" t="s">
        <v>173</v>
      </c>
      <c r="E21" s="7" t="s">
        <v>292</v>
      </c>
      <c r="F21" s="2" t="s">
        <v>6</v>
      </c>
      <c r="G21" s="2" t="s">
        <v>1</v>
      </c>
      <c r="H21" s="7" t="s">
        <v>174</v>
      </c>
      <c r="I21" s="2" t="s">
        <v>219</v>
      </c>
      <c r="J21" s="2" t="s">
        <v>260</v>
      </c>
      <c r="K21" s="2" t="s">
        <v>293</v>
      </c>
      <c r="L21" s="8" t="s">
        <v>220</v>
      </c>
      <c r="M21" s="2" t="s">
        <v>139</v>
      </c>
      <c r="N21" s="2" t="s">
        <v>328</v>
      </c>
      <c r="O21" s="2">
        <v>1</v>
      </c>
      <c r="P21" s="2">
        <v>3</v>
      </c>
      <c r="Q21" s="2">
        <v>5</v>
      </c>
      <c r="R21" s="8">
        <v>23</v>
      </c>
      <c r="S21" s="9" t="s">
        <v>7</v>
      </c>
      <c r="T21" s="9" t="s">
        <v>11</v>
      </c>
      <c r="U21" s="9" t="s">
        <v>9</v>
      </c>
      <c r="V21" s="8" t="s">
        <v>5</v>
      </c>
    </row>
    <row r="22" spans="1:22" x14ac:dyDescent="0.25">
      <c r="A22" s="2">
        <v>18</v>
      </c>
      <c r="B22" s="6">
        <v>174630.83240605879</v>
      </c>
      <c r="C22" s="2" t="s">
        <v>16</v>
      </c>
      <c r="D22" s="2" t="s">
        <v>175</v>
      </c>
      <c r="E22" s="7" t="s">
        <v>0</v>
      </c>
      <c r="F22" s="2" t="s">
        <v>10</v>
      </c>
      <c r="G22" s="2" t="s">
        <v>10</v>
      </c>
      <c r="H22" s="7" t="s">
        <v>66</v>
      </c>
      <c r="I22" s="2" t="s">
        <v>67</v>
      </c>
      <c r="J22" s="2" t="s">
        <v>68</v>
      </c>
      <c r="K22" s="2" t="s">
        <v>261</v>
      </c>
      <c r="L22" s="2" t="s">
        <v>12</v>
      </c>
      <c r="M22" s="2" t="s">
        <v>69</v>
      </c>
      <c r="N22" s="2" t="s">
        <v>44</v>
      </c>
      <c r="O22" s="2">
        <v>0</v>
      </c>
      <c r="P22" s="2">
        <v>2</v>
      </c>
      <c r="Q22" s="2" t="s">
        <v>13</v>
      </c>
      <c r="R22" s="2" t="s">
        <v>13</v>
      </c>
      <c r="S22" s="9" t="s">
        <v>2</v>
      </c>
      <c r="T22" s="9" t="s">
        <v>3</v>
      </c>
      <c r="U22" s="9" t="s">
        <v>4</v>
      </c>
      <c r="V22" s="8" t="s">
        <v>5</v>
      </c>
    </row>
    <row r="23" spans="1:22" x14ac:dyDescent="0.25">
      <c r="A23" s="2">
        <v>19</v>
      </c>
      <c r="B23" s="6">
        <v>14119235.157693032</v>
      </c>
      <c r="C23" s="2" t="s">
        <v>329</v>
      </c>
      <c r="D23" s="2" t="s">
        <v>45</v>
      </c>
      <c r="E23" s="7" t="s">
        <v>0</v>
      </c>
      <c r="F23" s="2" t="s">
        <v>10</v>
      </c>
      <c r="G23" s="2" t="s">
        <v>6</v>
      </c>
      <c r="H23" s="7" t="s">
        <v>102</v>
      </c>
      <c r="I23" s="10" t="s">
        <v>176</v>
      </c>
      <c r="J23" s="10" t="s">
        <v>177</v>
      </c>
      <c r="K23" s="2" t="s">
        <v>140</v>
      </c>
      <c r="L23" s="2" t="s">
        <v>12</v>
      </c>
      <c r="M23" s="2" t="s">
        <v>46</v>
      </c>
      <c r="N23" s="2" t="s">
        <v>47</v>
      </c>
      <c r="O23" s="10">
        <v>0</v>
      </c>
      <c r="P23" s="2">
        <v>0</v>
      </c>
      <c r="Q23" s="2" t="s">
        <v>13</v>
      </c>
      <c r="R23" s="2" t="s">
        <v>13</v>
      </c>
      <c r="S23" s="2" t="s">
        <v>13</v>
      </c>
      <c r="T23" s="9" t="s">
        <v>14</v>
      </c>
      <c r="U23" s="9" t="s">
        <v>4</v>
      </c>
      <c r="V23" s="8" t="s">
        <v>5</v>
      </c>
    </row>
    <row r="24" spans="1:22" x14ac:dyDescent="0.25">
      <c r="A24" s="2">
        <v>20</v>
      </c>
      <c r="B24" s="6">
        <v>21340814.134925768</v>
      </c>
      <c r="C24" s="2" t="s">
        <v>178</v>
      </c>
      <c r="D24" s="2" t="s">
        <v>179</v>
      </c>
      <c r="E24" s="7" t="s">
        <v>0</v>
      </c>
      <c r="F24" s="7" t="s">
        <v>0</v>
      </c>
      <c r="G24" s="2" t="s">
        <v>1</v>
      </c>
      <c r="H24" s="7" t="s">
        <v>221</v>
      </c>
      <c r="I24" s="2" t="s">
        <v>223</v>
      </c>
      <c r="J24" s="2" t="s">
        <v>224</v>
      </c>
      <c r="K24" s="2" t="s">
        <v>222</v>
      </c>
      <c r="L24" s="8" t="s">
        <v>227</v>
      </c>
      <c r="M24" s="2" t="s">
        <v>225</v>
      </c>
      <c r="N24" s="2" t="s">
        <v>226</v>
      </c>
      <c r="O24" s="2">
        <v>1</v>
      </c>
      <c r="P24" s="2">
        <v>4</v>
      </c>
      <c r="Q24" s="2">
        <v>6</v>
      </c>
      <c r="R24" s="8">
        <v>1</v>
      </c>
      <c r="S24" s="9" t="s">
        <v>7</v>
      </c>
      <c r="T24" s="9" t="s">
        <v>8</v>
      </c>
      <c r="U24" s="9" t="s">
        <v>9</v>
      </c>
      <c r="V24" s="8" t="s">
        <v>248</v>
      </c>
    </row>
    <row r="25" spans="1:22" x14ac:dyDescent="0.25">
      <c r="A25" s="2">
        <v>22</v>
      </c>
      <c r="B25" s="6">
        <v>26237013.988865376</v>
      </c>
      <c r="C25" s="2" t="s">
        <v>103</v>
      </c>
      <c r="D25" s="2" t="s">
        <v>70</v>
      </c>
      <c r="E25" s="7" t="s">
        <v>300</v>
      </c>
      <c r="F25" s="9" t="s">
        <v>12</v>
      </c>
      <c r="G25" s="2" t="s">
        <v>1</v>
      </c>
      <c r="H25" s="7" t="s">
        <v>180</v>
      </c>
      <c r="I25" s="2" t="s">
        <v>294</v>
      </c>
      <c r="J25" s="2" t="s">
        <v>312</v>
      </c>
      <c r="K25" s="2" t="s">
        <v>262</v>
      </c>
      <c r="L25" s="8" t="s">
        <v>330</v>
      </c>
      <c r="M25" s="2" t="s">
        <v>181</v>
      </c>
      <c r="N25" s="2" t="s">
        <v>182</v>
      </c>
      <c r="O25" s="20">
        <v>0</v>
      </c>
      <c r="P25" s="2">
        <v>4</v>
      </c>
      <c r="Q25" s="2">
        <v>8</v>
      </c>
      <c r="R25" s="8">
        <v>6</v>
      </c>
      <c r="S25" s="9" t="s">
        <v>2</v>
      </c>
      <c r="T25" s="9" t="s">
        <v>3</v>
      </c>
      <c r="U25" s="9" t="s">
        <v>4</v>
      </c>
      <c r="V25" s="8" t="s">
        <v>5</v>
      </c>
    </row>
    <row r="26" spans="1:22" x14ac:dyDescent="0.25">
      <c r="A26" s="2">
        <v>23</v>
      </c>
      <c r="B26" s="6">
        <v>12303081.833121046</v>
      </c>
      <c r="C26" s="2" t="s">
        <v>141</v>
      </c>
      <c r="D26" s="2" t="s">
        <v>142</v>
      </c>
      <c r="E26" s="7" t="s">
        <v>254</v>
      </c>
      <c r="F26" s="2" t="s">
        <v>6</v>
      </c>
      <c r="G26" s="2" t="s">
        <v>10</v>
      </c>
      <c r="H26" s="7" t="s">
        <v>263</v>
      </c>
      <c r="I26" s="2" t="s">
        <v>265</v>
      </c>
      <c r="J26" s="2" t="s">
        <v>266</v>
      </c>
      <c r="K26" s="2" t="s">
        <v>264</v>
      </c>
      <c r="L26" s="8" t="s">
        <v>269</v>
      </c>
      <c r="M26" s="2" t="s">
        <v>267</v>
      </c>
      <c r="N26" s="2" t="s">
        <v>268</v>
      </c>
      <c r="O26" s="2">
        <v>4</v>
      </c>
      <c r="P26" s="2">
        <v>4</v>
      </c>
      <c r="Q26" s="2">
        <v>7</v>
      </c>
      <c r="R26" s="8">
        <v>2</v>
      </c>
      <c r="S26" s="9" t="s">
        <v>7</v>
      </c>
      <c r="T26" s="9" t="s">
        <v>8</v>
      </c>
      <c r="U26" s="9" t="s">
        <v>9</v>
      </c>
      <c r="V26" s="8" t="s">
        <v>295</v>
      </c>
    </row>
    <row r="27" spans="1:22" x14ac:dyDescent="0.25">
      <c r="A27" s="2">
        <v>24</v>
      </c>
      <c r="B27" s="6">
        <v>97065752.76318936</v>
      </c>
      <c r="C27" s="2" t="s">
        <v>104</v>
      </c>
      <c r="D27" s="2" t="s">
        <v>105</v>
      </c>
      <c r="E27" s="7" t="s">
        <v>240</v>
      </c>
      <c r="F27" s="2" t="s">
        <v>1</v>
      </c>
      <c r="G27" s="2" t="s">
        <v>6</v>
      </c>
      <c r="H27" s="7" t="s">
        <v>228</v>
      </c>
      <c r="I27" s="2" t="s">
        <v>271</v>
      </c>
      <c r="J27" s="2" t="s">
        <v>272</v>
      </c>
      <c r="K27" s="2" t="s">
        <v>270</v>
      </c>
      <c r="L27" s="8" t="s">
        <v>106</v>
      </c>
      <c r="M27" s="2" t="s">
        <v>273</v>
      </c>
      <c r="N27" s="2" t="s">
        <v>274</v>
      </c>
      <c r="O27" s="2">
        <v>1</v>
      </c>
      <c r="P27" s="2">
        <v>4</v>
      </c>
      <c r="Q27" s="2">
        <v>5</v>
      </c>
      <c r="R27" s="8">
        <v>8</v>
      </c>
      <c r="S27" s="9" t="s">
        <v>7</v>
      </c>
      <c r="T27" s="9" t="s">
        <v>11</v>
      </c>
      <c r="U27" s="9" t="s">
        <v>9</v>
      </c>
      <c r="V27" s="8" t="s">
        <v>5</v>
      </c>
    </row>
    <row r="28" spans="1:22" x14ac:dyDescent="0.25">
      <c r="A28" s="2">
        <v>25</v>
      </c>
      <c r="B28" s="6">
        <v>64216393.569006987</v>
      </c>
      <c r="C28" s="2" t="s">
        <v>331</v>
      </c>
      <c r="D28" s="2" t="s">
        <v>71</v>
      </c>
      <c r="E28" s="7" t="s">
        <v>0</v>
      </c>
      <c r="F28" s="2" t="s">
        <v>10</v>
      </c>
      <c r="G28" s="2" t="s">
        <v>1</v>
      </c>
      <c r="H28" s="7" t="s">
        <v>107</v>
      </c>
      <c r="I28" s="2" t="s">
        <v>72</v>
      </c>
      <c r="J28" s="2" t="s">
        <v>73</v>
      </c>
      <c r="K28" s="2" t="s">
        <v>108</v>
      </c>
      <c r="L28" s="2" t="s">
        <v>12</v>
      </c>
      <c r="M28" s="2" t="s">
        <v>109</v>
      </c>
      <c r="N28" s="2" t="s">
        <v>110</v>
      </c>
      <c r="O28" s="2">
        <v>0</v>
      </c>
      <c r="P28" s="2">
        <v>2</v>
      </c>
      <c r="Q28" s="2">
        <v>3</v>
      </c>
      <c r="R28" s="2" t="s">
        <v>339</v>
      </c>
      <c r="S28" s="9" t="s">
        <v>7</v>
      </c>
      <c r="T28" s="9" t="s">
        <v>8</v>
      </c>
      <c r="U28" s="9" t="s">
        <v>9</v>
      </c>
      <c r="V28" s="8" t="s">
        <v>111</v>
      </c>
    </row>
    <row r="29" spans="1:22" x14ac:dyDescent="0.25">
      <c r="A29" s="2">
        <v>26</v>
      </c>
      <c r="B29" s="6">
        <v>42484325.097618692</v>
      </c>
      <c r="C29" s="2" t="s">
        <v>112</v>
      </c>
      <c r="D29" s="2" t="s">
        <v>113</v>
      </c>
      <c r="E29" s="7" t="s">
        <v>0</v>
      </c>
      <c r="F29" s="7" t="s">
        <v>0</v>
      </c>
      <c r="G29" s="2" t="s">
        <v>6</v>
      </c>
      <c r="H29" s="7" t="s">
        <v>143</v>
      </c>
      <c r="I29" s="2" t="s">
        <v>275</v>
      </c>
      <c r="J29" s="2" t="s">
        <v>276</v>
      </c>
      <c r="K29" s="2" t="s">
        <v>296</v>
      </c>
      <c r="L29" s="8" t="s">
        <v>114</v>
      </c>
      <c r="M29" s="2" t="s">
        <v>144</v>
      </c>
      <c r="N29" s="2" t="s">
        <v>145</v>
      </c>
      <c r="O29" s="2">
        <v>3</v>
      </c>
      <c r="P29" s="2">
        <v>4</v>
      </c>
      <c r="Q29" s="2" t="s">
        <v>13</v>
      </c>
      <c r="R29" s="2" t="s">
        <v>13</v>
      </c>
      <c r="S29" s="2" t="s">
        <v>13</v>
      </c>
      <c r="T29" s="9" t="s">
        <v>14</v>
      </c>
      <c r="U29" s="9" t="s">
        <v>4</v>
      </c>
      <c r="V29" s="8" t="s">
        <v>5</v>
      </c>
    </row>
    <row r="30" spans="1:22" x14ac:dyDescent="0.25">
      <c r="A30" s="2">
        <v>27</v>
      </c>
      <c r="B30" s="6">
        <v>81716049.447842121</v>
      </c>
      <c r="C30" s="2" t="s">
        <v>74</v>
      </c>
      <c r="D30" s="2" t="s">
        <v>48</v>
      </c>
      <c r="E30" s="7" t="s">
        <v>254</v>
      </c>
      <c r="F30" s="2" t="s">
        <v>6</v>
      </c>
      <c r="G30" s="2" t="s">
        <v>1</v>
      </c>
      <c r="H30" s="7" t="s">
        <v>146</v>
      </c>
      <c r="I30" s="11" t="s">
        <v>278</v>
      </c>
      <c r="J30" s="2" t="s">
        <v>279</v>
      </c>
      <c r="K30" s="2" t="s">
        <v>277</v>
      </c>
      <c r="L30" s="8" t="s">
        <v>147</v>
      </c>
      <c r="M30" s="2" t="s">
        <v>332</v>
      </c>
      <c r="N30" s="2" t="s">
        <v>280</v>
      </c>
      <c r="O30" s="2">
        <v>2</v>
      </c>
      <c r="P30" s="2">
        <v>3</v>
      </c>
      <c r="Q30" s="2">
        <v>4</v>
      </c>
      <c r="R30" s="8">
        <v>11</v>
      </c>
      <c r="S30" s="9" t="s">
        <v>7</v>
      </c>
      <c r="T30" s="9" t="s">
        <v>11</v>
      </c>
      <c r="U30" s="9" t="s">
        <v>9</v>
      </c>
      <c r="V30" s="8" t="s">
        <v>5</v>
      </c>
    </row>
    <row r="31" spans="1:22" x14ac:dyDescent="0.25">
      <c r="A31" s="2">
        <v>28</v>
      </c>
      <c r="B31" s="6">
        <v>55955115.37781623</v>
      </c>
      <c r="C31" s="2" t="s">
        <v>115</v>
      </c>
      <c r="D31" s="2" t="s">
        <v>229</v>
      </c>
      <c r="E31" s="7" t="s">
        <v>313</v>
      </c>
      <c r="F31" s="9" t="s">
        <v>12</v>
      </c>
      <c r="G31" s="9" t="s">
        <v>12</v>
      </c>
      <c r="H31" s="7" t="s">
        <v>230</v>
      </c>
      <c r="I31" s="2" t="s">
        <v>314</v>
      </c>
      <c r="J31" s="2" t="s">
        <v>315</v>
      </c>
      <c r="K31" s="2" t="s">
        <v>231</v>
      </c>
      <c r="L31" s="2" t="s">
        <v>117</v>
      </c>
      <c r="M31" s="2" t="s">
        <v>109</v>
      </c>
      <c r="N31" s="2" t="s">
        <v>116</v>
      </c>
      <c r="O31" s="2">
        <v>3</v>
      </c>
      <c r="P31" s="2">
        <v>3</v>
      </c>
      <c r="Q31" s="2" t="s">
        <v>13</v>
      </c>
      <c r="R31" s="2" t="s">
        <v>13</v>
      </c>
      <c r="S31" s="9" t="s">
        <v>338</v>
      </c>
      <c r="T31" s="9" t="s">
        <v>3</v>
      </c>
      <c r="U31" s="9" t="s">
        <v>4</v>
      </c>
      <c r="V31" s="8" t="s">
        <v>5</v>
      </c>
    </row>
    <row r="32" spans="1:22" x14ac:dyDescent="0.25">
      <c r="A32" s="2">
        <v>29</v>
      </c>
      <c r="B32" s="6">
        <v>3870917.2400666121</v>
      </c>
      <c r="C32" s="2" t="s">
        <v>75</v>
      </c>
      <c r="D32" s="2" t="s">
        <v>76</v>
      </c>
      <c r="E32" s="7" t="s">
        <v>148</v>
      </c>
      <c r="F32" s="2" t="s">
        <v>6</v>
      </c>
      <c r="G32" s="2" t="s">
        <v>10</v>
      </c>
      <c r="H32" s="7" t="s">
        <v>340</v>
      </c>
      <c r="I32" s="2" t="s">
        <v>150</v>
      </c>
      <c r="J32" s="2" t="s">
        <v>77</v>
      </c>
      <c r="K32" s="2" t="s">
        <v>149</v>
      </c>
      <c r="L32" s="8" t="s">
        <v>79</v>
      </c>
      <c r="M32" s="2" t="s">
        <v>78</v>
      </c>
      <c r="N32" s="2" t="s">
        <v>151</v>
      </c>
      <c r="O32" s="2">
        <v>0</v>
      </c>
      <c r="P32" s="2">
        <v>2</v>
      </c>
      <c r="Q32" s="2">
        <v>3</v>
      </c>
      <c r="R32" s="8">
        <v>2</v>
      </c>
      <c r="S32" s="9" t="s">
        <v>7</v>
      </c>
      <c r="T32" s="9" t="s">
        <v>8</v>
      </c>
      <c r="U32" s="9" t="s">
        <v>9</v>
      </c>
      <c r="V32" s="8" t="s">
        <v>130</v>
      </c>
    </row>
    <row r="33" spans="1:22" x14ac:dyDescent="0.25">
      <c r="A33" s="2">
        <v>30</v>
      </c>
      <c r="B33" s="6">
        <v>73697430.959859669</v>
      </c>
      <c r="C33" s="2" t="s">
        <v>152</v>
      </c>
      <c r="D33" s="2" t="s">
        <v>232</v>
      </c>
      <c r="E33" s="7" t="s">
        <v>49</v>
      </c>
      <c r="F33" s="7" t="s">
        <v>0</v>
      </c>
      <c r="G33" s="2" t="s">
        <v>1</v>
      </c>
      <c r="H33" s="7" t="s">
        <v>153</v>
      </c>
      <c r="I33" s="2" t="s">
        <v>51</v>
      </c>
      <c r="J33" s="2" t="s">
        <v>52</v>
      </c>
      <c r="K33" s="2" t="s">
        <v>50</v>
      </c>
      <c r="L33" s="8" t="s">
        <v>333</v>
      </c>
      <c r="M33" s="2" t="s">
        <v>53</v>
      </c>
      <c r="N33" s="2" t="s">
        <v>54</v>
      </c>
      <c r="O33" s="2">
        <v>0</v>
      </c>
      <c r="P33" s="2">
        <v>1</v>
      </c>
      <c r="Q33" s="2" t="s">
        <v>13</v>
      </c>
      <c r="R33" s="2" t="s">
        <v>13</v>
      </c>
      <c r="S33" s="9" t="s">
        <v>17</v>
      </c>
      <c r="T33" s="9" t="s">
        <v>14</v>
      </c>
      <c r="U33" s="9" t="s">
        <v>4</v>
      </c>
      <c r="V33" s="8" t="s">
        <v>5</v>
      </c>
    </row>
    <row r="34" spans="1:22" x14ac:dyDescent="0.25">
      <c r="A34" s="2">
        <v>31</v>
      </c>
      <c r="B34" s="6">
        <f>B33*5</f>
        <v>368487154.79929835</v>
      </c>
      <c r="C34" s="2" t="s">
        <v>55</v>
      </c>
      <c r="D34" s="2" t="s">
        <v>316</v>
      </c>
      <c r="E34" s="7" t="s">
        <v>0</v>
      </c>
      <c r="F34" s="7" t="s">
        <v>0</v>
      </c>
      <c r="G34" s="2" t="s">
        <v>1</v>
      </c>
      <c r="H34" s="7" t="s">
        <v>80</v>
      </c>
      <c r="I34" s="2" t="s">
        <v>297</v>
      </c>
      <c r="J34" s="2" t="s">
        <v>298</v>
      </c>
      <c r="K34" s="2" t="s">
        <v>281</v>
      </c>
      <c r="L34" s="8" t="s">
        <v>81</v>
      </c>
      <c r="M34" s="2" t="s">
        <v>154</v>
      </c>
      <c r="N34" s="2" t="s">
        <v>155</v>
      </c>
      <c r="O34" s="2">
        <v>0</v>
      </c>
      <c r="P34" s="2">
        <v>1</v>
      </c>
      <c r="Q34" s="2" t="s">
        <v>13</v>
      </c>
      <c r="R34" s="2" t="s">
        <v>13</v>
      </c>
      <c r="S34" s="9" t="s">
        <v>17</v>
      </c>
      <c r="T34" s="9" t="s">
        <v>14</v>
      </c>
      <c r="U34" s="9" t="s">
        <v>4</v>
      </c>
      <c r="V34" s="8" t="s">
        <v>5</v>
      </c>
    </row>
    <row r="35" spans="1:22" x14ac:dyDescent="0.25">
      <c r="A35" s="2">
        <v>32</v>
      </c>
      <c r="B35" s="6">
        <v>23662599.337735541</v>
      </c>
      <c r="C35" s="2" t="s">
        <v>56</v>
      </c>
      <c r="D35" s="2" t="s">
        <v>337</v>
      </c>
      <c r="E35" s="7" t="s">
        <v>183</v>
      </c>
      <c r="F35" s="9" t="s">
        <v>12</v>
      </c>
      <c r="G35" s="9" t="s">
        <v>12</v>
      </c>
      <c r="H35" s="7" t="s">
        <v>233</v>
      </c>
      <c r="I35" s="2" t="s">
        <v>185</v>
      </c>
      <c r="J35" s="2" t="s">
        <v>186</v>
      </c>
      <c r="K35" s="11" t="s">
        <v>184</v>
      </c>
      <c r="L35" s="2" t="s">
        <v>12</v>
      </c>
      <c r="M35" s="2" t="s">
        <v>12</v>
      </c>
      <c r="N35" s="2" t="s">
        <v>12</v>
      </c>
      <c r="O35" s="2">
        <v>1</v>
      </c>
      <c r="P35" s="2">
        <v>1</v>
      </c>
      <c r="Q35" s="2" t="s">
        <v>13</v>
      </c>
      <c r="R35" s="2" t="s">
        <v>13</v>
      </c>
      <c r="S35" s="9" t="s">
        <v>17</v>
      </c>
      <c r="T35" s="9" t="s">
        <v>3</v>
      </c>
      <c r="U35" s="9" t="s">
        <v>4</v>
      </c>
      <c r="V35" s="8" t="s">
        <v>5</v>
      </c>
    </row>
    <row r="36" spans="1:22" x14ac:dyDescent="0.25">
      <c r="A36" s="2">
        <v>33</v>
      </c>
      <c r="B36" s="6">
        <v>68793767.274500445</v>
      </c>
      <c r="C36" s="2" t="s">
        <v>57</v>
      </c>
      <c r="D36" s="2" t="s">
        <v>134</v>
      </c>
      <c r="E36" s="7" t="s">
        <v>0</v>
      </c>
      <c r="F36" s="7" t="s">
        <v>0</v>
      </c>
      <c r="G36" s="2" t="s">
        <v>1</v>
      </c>
      <c r="H36" s="7" t="s">
        <v>118</v>
      </c>
      <c r="I36" s="2" t="s">
        <v>282</v>
      </c>
      <c r="J36" s="2" t="s">
        <v>335</v>
      </c>
      <c r="K36" s="2" t="s">
        <v>334</v>
      </c>
      <c r="L36" s="8" t="s">
        <v>187</v>
      </c>
      <c r="M36" s="2" t="s">
        <v>119</v>
      </c>
      <c r="N36" s="2" t="s">
        <v>120</v>
      </c>
      <c r="O36" s="2">
        <v>1</v>
      </c>
      <c r="P36" s="2">
        <v>2</v>
      </c>
      <c r="Q36" s="2" t="s">
        <v>13</v>
      </c>
      <c r="R36" s="2" t="s">
        <v>13</v>
      </c>
      <c r="S36" s="9" t="s">
        <v>17</v>
      </c>
      <c r="T36" s="9" t="s">
        <v>14</v>
      </c>
      <c r="U36" s="9" t="s">
        <v>4</v>
      </c>
      <c r="V36" s="8" t="s">
        <v>5</v>
      </c>
    </row>
    <row r="37" spans="1:22" ht="15.75" thickBot="1" x14ac:dyDescent="0.3">
      <c r="A37" s="12">
        <v>34</v>
      </c>
      <c r="B37" s="13">
        <v>84578322.260990605</v>
      </c>
      <c r="C37" s="12" t="s">
        <v>58</v>
      </c>
      <c r="D37" s="12" t="s">
        <v>156</v>
      </c>
      <c r="E37" s="14" t="s">
        <v>0</v>
      </c>
      <c r="F37" s="14" t="s">
        <v>0</v>
      </c>
      <c r="G37" s="12" t="s">
        <v>1</v>
      </c>
      <c r="H37" s="14" t="s">
        <v>188</v>
      </c>
      <c r="I37" s="12" t="s">
        <v>299</v>
      </c>
      <c r="J37" s="12" t="s">
        <v>336</v>
      </c>
      <c r="K37" s="12" t="s">
        <v>283</v>
      </c>
      <c r="L37" s="15" t="s">
        <v>191</v>
      </c>
      <c r="M37" s="12" t="s">
        <v>189</v>
      </c>
      <c r="N37" s="12" t="s">
        <v>190</v>
      </c>
      <c r="O37" s="12">
        <v>1</v>
      </c>
      <c r="P37" s="12">
        <v>2</v>
      </c>
      <c r="Q37" s="12" t="s">
        <v>13</v>
      </c>
      <c r="R37" s="12" t="s">
        <v>13</v>
      </c>
      <c r="S37" s="16" t="s">
        <v>17</v>
      </c>
      <c r="T37" s="16" t="s">
        <v>14</v>
      </c>
      <c r="U37" s="16" t="s">
        <v>4</v>
      </c>
      <c r="V37" s="15" t="s">
        <v>5</v>
      </c>
    </row>
    <row r="38" spans="1:22" ht="15.75" x14ac:dyDescent="0.25">
      <c r="A38" s="17"/>
    </row>
  </sheetData>
  <mergeCells count="5">
    <mergeCell ref="E3:H3"/>
    <mergeCell ref="B3:D3"/>
    <mergeCell ref="O3:V3"/>
    <mergeCell ref="I3:J3"/>
    <mergeCell ref="K3:N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Paola, Nicholas</dc:creator>
  <cp:lastModifiedBy>Di Paola, Nicholas</cp:lastModifiedBy>
  <dcterms:created xsi:type="dcterms:W3CDTF">2019-07-23T18:57:02Z</dcterms:created>
  <dcterms:modified xsi:type="dcterms:W3CDTF">2020-06-08T14:27:19Z</dcterms:modified>
</cp:coreProperties>
</file>